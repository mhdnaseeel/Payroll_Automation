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C7BF41B7-C7E2-49EB-8C95-A0DEB85D18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2" l="1"/>
  <c r="E81" i="2"/>
  <c r="E80" i="2"/>
  <c r="E79" i="2"/>
  <c r="B79" i="2" a="1"/>
  <c r="B79" i="2"/>
  <c r="N65" i="2"/>
  <c r="N66" i="2"/>
  <c r="N67" i="2"/>
  <c r="N68" i="2"/>
  <c r="N69" i="2"/>
  <c r="N70" i="2"/>
  <c r="N71" i="2"/>
  <c r="N72" i="2"/>
  <c r="N73" i="2"/>
  <c r="N64" i="2"/>
  <c r="L65" i="2"/>
  <c r="L66" i="2"/>
  <c r="L67" i="2"/>
  <c r="L68" i="2"/>
  <c r="L69" i="2"/>
  <c r="L70" i="2"/>
  <c r="L71" i="2"/>
  <c r="L72" i="2"/>
  <c r="L64" i="2"/>
  <c r="C74" i="2"/>
  <c r="B74" i="2"/>
  <c r="M73" i="2" s="1"/>
  <c r="A74" i="2"/>
  <c r="C73" i="2"/>
  <c r="B73" i="2"/>
  <c r="M72" i="2" s="1"/>
  <c r="A73" i="2"/>
  <c r="C72" i="2"/>
  <c r="B72" i="2"/>
  <c r="M71" i="2" s="1"/>
  <c r="A72" i="2"/>
  <c r="C71" i="2"/>
  <c r="B71" i="2"/>
  <c r="M70" i="2" s="1"/>
  <c r="A71" i="2"/>
  <c r="C70" i="2"/>
  <c r="B70" i="2"/>
  <c r="M69" i="2" s="1"/>
  <c r="A70" i="2"/>
  <c r="C69" i="2"/>
  <c r="B69" i="2"/>
  <c r="M68" i="2" s="1"/>
  <c r="A69" i="2"/>
  <c r="C68" i="2"/>
  <c r="B68" i="2"/>
  <c r="M67" i="2" s="1"/>
  <c r="A68" i="2"/>
  <c r="C67" i="2"/>
  <c r="B67" i="2"/>
  <c r="M66" i="2" s="1"/>
  <c r="A67" i="2"/>
  <c r="C66" i="2"/>
  <c r="B66" i="2"/>
  <c r="M65" i="2" s="1"/>
  <c r="A66" i="2"/>
  <c r="C65" i="2"/>
  <c r="B65" i="2"/>
  <c r="M64" i="2" s="1"/>
  <c r="A65" i="2"/>
  <c r="B64" i="2"/>
  <c r="A64" i="2"/>
  <c r="F60" i="2"/>
  <c r="H28" i="2"/>
  <c r="G28" i="2"/>
  <c r="F28" i="2"/>
  <c r="E28" i="2"/>
  <c r="I28" i="2" s="1"/>
  <c r="C41" i="2" s="1"/>
  <c r="B28" i="2"/>
  <c r="B41" i="2" s="1"/>
  <c r="K72" i="2" s="1"/>
  <c r="A28" i="2"/>
  <c r="A41" i="2" s="1"/>
  <c r="H27" i="2"/>
  <c r="G27" i="2"/>
  <c r="F27" i="2"/>
  <c r="E27" i="2"/>
  <c r="I27" i="2" s="1"/>
  <c r="C40" i="2" s="1"/>
  <c r="B27" i="2"/>
  <c r="B40" i="2" s="1"/>
  <c r="K71" i="2" s="1"/>
  <c r="A27" i="2"/>
  <c r="A40" i="2" s="1"/>
  <c r="H26" i="2"/>
  <c r="G26" i="2"/>
  <c r="F26" i="2"/>
  <c r="E26" i="2"/>
  <c r="I26" i="2" s="1"/>
  <c r="C39" i="2" s="1"/>
  <c r="B26" i="2"/>
  <c r="B39" i="2" s="1"/>
  <c r="K70" i="2" s="1"/>
  <c r="A26" i="2"/>
  <c r="A39" i="2" s="1"/>
  <c r="H25" i="2"/>
  <c r="G25" i="2"/>
  <c r="F25" i="2"/>
  <c r="E25" i="2"/>
  <c r="I25" i="2" s="1"/>
  <c r="C38" i="2" s="1"/>
  <c r="B25" i="2"/>
  <c r="B38" i="2" s="1"/>
  <c r="K69" i="2" s="1"/>
  <c r="A25" i="2"/>
  <c r="A38" i="2" s="1"/>
  <c r="H24" i="2"/>
  <c r="G24" i="2"/>
  <c r="F24" i="2"/>
  <c r="E24" i="2"/>
  <c r="I24" i="2" s="1"/>
  <c r="C37" i="2" s="1"/>
  <c r="B24" i="2"/>
  <c r="B37" i="2" s="1"/>
  <c r="K68" i="2" s="1"/>
  <c r="A24" i="2"/>
  <c r="A37" i="2" s="1"/>
  <c r="H23" i="2"/>
  <c r="G23" i="2"/>
  <c r="F23" i="2"/>
  <c r="E23" i="2"/>
  <c r="I23" i="2" s="1"/>
  <c r="C36" i="2" s="1"/>
  <c r="B23" i="2"/>
  <c r="B36" i="2" s="1"/>
  <c r="K67" i="2" s="1"/>
  <c r="A23" i="2"/>
  <c r="A36" i="2" s="1"/>
  <c r="H22" i="2"/>
  <c r="G22" i="2"/>
  <c r="F22" i="2"/>
  <c r="E22" i="2"/>
  <c r="I22" i="2" s="1"/>
  <c r="C35" i="2" s="1"/>
  <c r="B22" i="2"/>
  <c r="B35" i="2" s="1"/>
  <c r="K66" i="2" s="1"/>
  <c r="A22" i="2"/>
  <c r="A35" i="2" s="1"/>
  <c r="H21" i="2"/>
  <c r="G21" i="2"/>
  <c r="F21" i="2"/>
  <c r="E21" i="2"/>
  <c r="I21" i="2" s="1"/>
  <c r="C34" i="2" s="1"/>
  <c r="B21" i="2"/>
  <c r="B34" i="2" s="1"/>
  <c r="K65" i="2" s="1"/>
  <c r="A21" i="2"/>
  <c r="A34" i="2" s="1"/>
  <c r="H20" i="2"/>
  <c r="G20" i="2"/>
  <c r="F20" i="2"/>
  <c r="E20" i="2"/>
  <c r="I20" i="2" s="1"/>
  <c r="C33" i="2" s="1"/>
  <c r="B20" i="2"/>
  <c r="B33" i="2" s="1"/>
  <c r="A20" i="2"/>
  <c r="A33" i="2" s="1"/>
  <c r="D19" i="2"/>
  <c r="C19" i="2"/>
  <c r="B19" i="2"/>
  <c r="B32" i="2" s="1"/>
  <c r="A19" i="2"/>
  <c r="A32" i="2" s="1"/>
  <c r="I15" i="2"/>
  <c r="H15" i="2"/>
  <c r="G15" i="2"/>
  <c r="F15" i="2"/>
  <c r="J14" i="2"/>
  <c r="J13" i="2"/>
  <c r="J12" i="2"/>
  <c r="J11" i="2"/>
  <c r="J10" i="2"/>
  <c r="J9" i="2"/>
  <c r="J8" i="2"/>
  <c r="J7" i="2"/>
  <c r="J6" i="2"/>
  <c r="J15" i="2" s="1"/>
  <c r="K64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<sst xmlns="http://schemas.openxmlformats.org/spreadsheetml/2006/main" count="38" uniqueCount="34">
  <si>
    <t>SI No.</t>
  </si>
  <si>
    <t>Date of 
Operation</t>
  </si>
  <si>
    <t>Work Slip 
No</t>
  </si>
  <si>
    <t>Dumping</t>
  </si>
  <si>
    <t>Recondition</t>
  </si>
  <si>
    <t>Clause XIX Part 1(3)</t>
  </si>
  <si>
    <t>Bags
stacked 
upto 10
high</t>
  </si>
  <si>
    <t>Bags
stacked 
upto 11-16
high</t>
  </si>
  <si>
    <t>Bags
stacked 
upto 17-20
high</t>
  </si>
  <si>
    <t>Bags
stacked 
above 20
high</t>
  </si>
  <si>
    <t>Total bags 
stacked</t>
  </si>
  <si>
    <t>Total</t>
  </si>
  <si>
    <t>TABLE 1</t>
  </si>
  <si>
    <t>11_16</t>
  </si>
  <si>
    <t>17_20</t>
  </si>
  <si>
    <t>TOTAL</t>
  </si>
  <si>
    <t xml:space="preserve">Hight </t>
  </si>
  <si>
    <t xml:space="preserve">Amount </t>
  </si>
  <si>
    <t>11 to 16</t>
  </si>
  <si>
    <t>17 to 20</t>
  </si>
  <si>
    <t>above 20</t>
  </si>
  <si>
    <t xml:space="preserve">Issue </t>
  </si>
  <si>
    <t>TABLE 2</t>
  </si>
  <si>
    <t>amount</t>
  </si>
  <si>
    <t>TABLE 3</t>
  </si>
  <si>
    <t>Work slip No</t>
  </si>
  <si>
    <t>Clause XIX</t>
  </si>
  <si>
    <t>Part 1(5)</t>
  </si>
  <si>
    <t>TABLE 4</t>
  </si>
  <si>
    <t>TABLE 5</t>
  </si>
  <si>
    <t xml:space="preserve">DATE AS BOTH TABLE </t>
  </si>
  <si>
    <t xml:space="preserve">total AMOUNT from both table </t>
  </si>
  <si>
    <t>total attendence per day</t>
  </si>
  <si>
    <t>per person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</si>
</sst>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dd/mm/yyyy;@"/>
  </numFmts>
  <fonts count="2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 shrinkToFit="1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/>
    <xf numFmtId="2" fontId="0" fillId="0" borderId="7" xfId="0" applyNumberFormat="1" applyBorder="1"/>
    <xf numFmtId="164" fontId="0" fillId="0" borderId="7" xfId="0" applyNumberFormat="1" applyBorder="1"/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165" fontId="0" fillId="0" borderId="7" xfId="0" applyNumberFormat="1" applyBorder="1"/>
    <xf numFmtId="17" fontId="0" fillId="0" borderId="7" xfId="0" applyNumberFormat="1" applyBorder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4" fontId="0" fillId="0" borderId="7" xfId="0" applyNumberFormat="1" applyBorder="1" applyAlignment="1">
      <alignment wrapText="1"/>
    </xf>
    <xf numFmtId="14" fontId="0" fillId="0" borderId="7" xfId="0" applyNumberFormat="1" applyBorder="1"/>
    <xf numFmtId="0" fontId="0" fillId="0" borderId="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A08A-7B35-47F2-955B-05EBDE19B342}">
  <dimension ref="A1:N94"/>
  <sheetViews>
    <sheetView tabSelected="1" topLeftCell="A68" workbookViewId="0">
      <selection activeCell="G77" sqref="G77"/>
    </sheetView>
  </sheetViews>
  <sheetFormatPr defaultRowHeight="15"/>
  <cols>
    <col min="2" max="2" width="20.7109375" customWidth="1"/>
    <col min="3" max="3" width="28.42578125" bestFit="1" customWidth="1"/>
    <col min="4" max="4" width="13.140625" customWidth="1"/>
    <col min="5" max="5" width="15.85546875" bestFit="1" customWidth="1"/>
    <col min="11" max="11" width="11.140625" bestFit="1" customWidth="1"/>
    <col min="12" max="12" width="10.85546875" bestFit="1" customWidth="1"/>
    <col min="13" max="13" width="10.5703125" customWidth="1"/>
    <col min="14" max="14" width="12.140625" customWidth="1"/>
  </cols>
  <sheetData>
    <row r="1" spans="1:10" ht="1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/>
      <c r="H1" s="4"/>
      <c r="I1" s="4"/>
      <c r="J1" s="5"/>
    </row>
    <row r="2" spans="1:10" ht="15" customHeight="1">
      <c r="A2" s="6"/>
      <c r="B2" s="7"/>
      <c r="C2" s="7"/>
      <c r="D2" s="6"/>
      <c r="E2" s="6"/>
      <c r="F2" s="8" t="s">
        <v>6</v>
      </c>
      <c r="G2" s="8" t="s">
        <v>7</v>
      </c>
      <c r="H2" s="8" t="s">
        <v>8</v>
      </c>
      <c r="I2" s="8" t="s">
        <v>9</v>
      </c>
      <c r="J2" s="2" t="s">
        <v>10</v>
      </c>
    </row>
    <row r="3" spans="1:10">
      <c r="A3" s="6"/>
      <c r="B3" s="7"/>
      <c r="C3" s="7"/>
      <c r="D3" s="6"/>
      <c r="E3" s="6"/>
      <c r="F3" s="9"/>
      <c r="G3" s="9"/>
      <c r="H3" s="9"/>
      <c r="I3" s="9"/>
      <c r="J3" s="7"/>
    </row>
    <row r="4" spans="1:10">
      <c r="A4" s="6"/>
      <c r="B4" s="7"/>
      <c r="C4" s="7"/>
      <c r="D4" s="6"/>
      <c r="E4" s="6"/>
      <c r="F4" s="9"/>
      <c r="G4" s="9"/>
      <c r="H4" s="9"/>
      <c r="I4" s="9"/>
      <c r="J4" s="7"/>
    </row>
    <row r="5" spans="1:10">
      <c r="A5" s="10"/>
      <c r="B5" s="11"/>
      <c r="C5" s="11"/>
      <c r="D5" s="10"/>
      <c r="E5" s="10"/>
      <c r="F5" s="12"/>
      <c r="G5" s="12"/>
      <c r="H5" s="12"/>
      <c r="I5" s="12"/>
      <c r="J5" s="11"/>
    </row>
    <row r="6" spans="1:10">
      <c r="A6" s="13">
        <v>1</v>
      </c>
      <c r="B6" s="14">
        <v>46055</v>
      </c>
      <c r="C6" s="13">
        <v>3666</v>
      </c>
      <c r="D6" s="13"/>
      <c r="E6" s="13"/>
      <c r="F6" s="13">
        <v>6696</v>
      </c>
      <c r="G6" s="13">
        <v>3678</v>
      </c>
      <c r="H6" s="13">
        <v>2455</v>
      </c>
      <c r="I6" s="13">
        <v>2591</v>
      </c>
      <c r="J6" s="13">
        <f>SUM(D6:I6)</f>
        <v>15420</v>
      </c>
    </row>
    <row r="7" spans="1:10">
      <c r="A7" s="13">
        <v>2</v>
      </c>
      <c r="B7" s="14">
        <v>46056</v>
      </c>
      <c r="C7" s="13">
        <v>3667</v>
      </c>
      <c r="D7" s="13"/>
      <c r="E7" s="13"/>
      <c r="F7" s="13">
        <v>3729</v>
      </c>
      <c r="G7" s="13">
        <v>1918</v>
      </c>
      <c r="H7" s="13">
        <v>1248</v>
      </c>
      <c r="I7" s="13">
        <v>1392</v>
      </c>
      <c r="J7" s="13">
        <f t="shared" ref="J7:J9" si="0">SUM(D7:I7)</f>
        <v>8287</v>
      </c>
    </row>
    <row r="8" spans="1:10">
      <c r="A8" s="13">
        <v>3</v>
      </c>
      <c r="B8" s="14">
        <v>46058</v>
      </c>
      <c r="C8" s="13">
        <v>3670</v>
      </c>
      <c r="D8" s="13"/>
      <c r="E8" s="13"/>
      <c r="F8" s="13">
        <v>7325</v>
      </c>
      <c r="G8" s="13">
        <v>3952</v>
      </c>
      <c r="H8" s="13">
        <v>2392</v>
      </c>
      <c r="I8" s="13">
        <v>2596</v>
      </c>
      <c r="J8" s="13">
        <f t="shared" si="0"/>
        <v>16265</v>
      </c>
    </row>
    <row r="9" spans="1:10">
      <c r="A9" s="13">
        <v>4</v>
      </c>
      <c r="B9" s="14">
        <v>46059</v>
      </c>
      <c r="C9" s="13">
        <v>3672</v>
      </c>
      <c r="D9" s="13"/>
      <c r="E9" s="13"/>
      <c r="F9" s="13">
        <v>3741</v>
      </c>
      <c r="G9" s="13">
        <v>2045</v>
      </c>
      <c r="H9" s="13">
        <v>1385</v>
      </c>
      <c r="I9" s="13">
        <v>1616</v>
      </c>
      <c r="J9" s="13">
        <f t="shared" si="0"/>
        <v>8787</v>
      </c>
    </row>
    <row r="10" spans="1:10">
      <c r="A10" s="13">
        <v>5</v>
      </c>
      <c r="B10" s="14">
        <v>46073</v>
      </c>
      <c r="C10" s="13">
        <v>3677</v>
      </c>
      <c r="D10" s="13"/>
      <c r="E10" s="13"/>
      <c r="F10" s="13">
        <v>4790</v>
      </c>
      <c r="G10" s="13">
        <v>2523</v>
      </c>
      <c r="H10" s="13">
        <v>1647</v>
      </c>
      <c r="I10" s="13">
        <v>1770</v>
      </c>
      <c r="J10" s="13">
        <f>SUM(D10:I10)</f>
        <v>10730</v>
      </c>
    </row>
    <row r="11" spans="1:10">
      <c r="A11" s="13">
        <v>6</v>
      </c>
      <c r="B11" s="14">
        <v>46076</v>
      </c>
      <c r="C11" s="13">
        <v>3681</v>
      </c>
      <c r="D11" s="13"/>
      <c r="E11" s="13"/>
      <c r="F11" s="13">
        <v>1999</v>
      </c>
      <c r="G11" s="13">
        <v>1133</v>
      </c>
      <c r="H11" s="13">
        <v>692</v>
      </c>
      <c r="I11" s="13">
        <v>781</v>
      </c>
      <c r="J11" s="13">
        <f>SUM(D11:I11)</f>
        <v>4605</v>
      </c>
    </row>
    <row r="12" spans="1:10">
      <c r="A12" s="13">
        <v>7</v>
      </c>
      <c r="B12" s="14">
        <v>46079</v>
      </c>
      <c r="C12" s="13">
        <v>3686</v>
      </c>
      <c r="D12" s="13"/>
      <c r="E12" s="13"/>
      <c r="F12" s="13">
        <v>1728</v>
      </c>
      <c r="G12" s="13">
        <v>841</v>
      </c>
      <c r="H12" s="13">
        <v>472</v>
      </c>
      <c r="I12" s="13">
        <v>420</v>
      </c>
      <c r="J12" s="13">
        <f>SUM(D12:I12)</f>
        <v>3461</v>
      </c>
    </row>
    <row r="13" spans="1:10">
      <c r="A13" s="13">
        <v>8</v>
      </c>
      <c r="B13" s="14">
        <v>46080</v>
      </c>
      <c r="C13" s="13">
        <v>3689</v>
      </c>
      <c r="D13" s="13"/>
      <c r="E13" s="13"/>
      <c r="F13" s="13">
        <v>5349</v>
      </c>
      <c r="G13" s="13">
        <v>2979</v>
      </c>
      <c r="H13" s="13">
        <v>2035</v>
      </c>
      <c r="I13" s="13">
        <v>2320</v>
      </c>
      <c r="J13" s="13">
        <f>SUM(D13:I13)</f>
        <v>12683</v>
      </c>
    </row>
    <row r="14" spans="1:10">
      <c r="A14" s="13">
        <v>9</v>
      </c>
      <c r="B14" s="14">
        <v>46081</v>
      </c>
      <c r="C14" s="13">
        <v>3692</v>
      </c>
      <c r="D14" s="13"/>
      <c r="E14" s="13"/>
      <c r="F14" s="13">
        <v>1393</v>
      </c>
      <c r="G14" s="13">
        <v>802</v>
      </c>
      <c r="H14" s="13">
        <v>556</v>
      </c>
      <c r="I14" s="13">
        <v>506</v>
      </c>
      <c r="J14" s="13">
        <f>SUM(D14:I14)</f>
        <v>3257</v>
      </c>
    </row>
    <row r="15" spans="1:10">
      <c r="A15" s="15" t="s">
        <v>11</v>
      </c>
      <c r="B15" s="16"/>
      <c r="C15" s="17"/>
      <c r="D15" s="18"/>
      <c r="E15" s="18"/>
      <c r="F15" s="18">
        <f>SUM(F6:F14)</f>
        <v>36750</v>
      </c>
      <c r="G15" s="18">
        <f>SUM(G6:G14)</f>
        <v>19871</v>
      </c>
      <c r="H15" s="18">
        <f>SUM(H6:H14)</f>
        <v>12882</v>
      </c>
      <c r="I15" s="18">
        <f>SUM(I6:I14)</f>
        <v>13992</v>
      </c>
      <c r="J15" s="18">
        <f>SUM(J6:J14)</f>
        <v>83495</v>
      </c>
    </row>
    <row r="16" spans="1:10">
      <c r="A16" s="19" t="s">
        <v>12</v>
      </c>
      <c r="B16" s="19"/>
      <c r="C16" s="19"/>
      <c r="D16" s="19"/>
      <c r="E16" s="19"/>
      <c r="F16" s="19"/>
      <c r="G16" s="19"/>
      <c r="H16" s="19"/>
      <c r="I16" s="19"/>
      <c r="J16" s="19"/>
    </row>
    <row r="19" spans="1:13">
      <c r="A19" s="20" t="str">
        <f>A1</f>
        <v>SI No.</v>
      </c>
      <c r="B19" s="20" t="str">
        <f>B1</f>
        <v>Date of 
Operation</v>
      </c>
      <c r="C19" s="20" t="str">
        <f>D1</f>
        <v>Dumping</v>
      </c>
      <c r="D19" s="20" t="str">
        <f>E1</f>
        <v>Recondition</v>
      </c>
      <c r="E19" s="20">
        <v>10</v>
      </c>
      <c r="F19" s="21" t="s">
        <v>13</v>
      </c>
      <c r="G19" s="20" t="s">
        <v>14</v>
      </c>
      <c r="H19" s="20">
        <v>20</v>
      </c>
      <c r="I19" s="20" t="s">
        <v>15</v>
      </c>
      <c r="L19" s="13" t="s">
        <v>16</v>
      </c>
      <c r="M19" s="13" t="s">
        <v>17</v>
      </c>
    </row>
    <row r="20" spans="1:13">
      <c r="A20" s="20">
        <f>A6</f>
        <v>1</v>
      </c>
      <c r="B20" s="22">
        <f>B6</f>
        <v>46055</v>
      </c>
      <c r="C20" s="20"/>
      <c r="D20" s="20"/>
      <c r="E20" s="20">
        <f>F6*M20</f>
        <v>53434.080000000002</v>
      </c>
      <c r="F20" s="20">
        <f>G6*M21</f>
        <v>34462.86</v>
      </c>
      <c r="G20" s="20">
        <f>H6*M22</f>
        <v>26587.65</v>
      </c>
      <c r="H20" s="20">
        <f>I6*M23</f>
        <v>36688.559999999998</v>
      </c>
      <c r="I20" s="20">
        <f>SUM(E20:H20)</f>
        <v>151173.15</v>
      </c>
      <c r="L20" s="13">
        <v>10</v>
      </c>
      <c r="M20" s="13">
        <v>7.98</v>
      </c>
    </row>
    <row r="21" spans="1:13">
      <c r="A21" s="20">
        <f>A7</f>
        <v>2</v>
      </c>
      <c r="B21" s="22">
        <f>B7</f>
        <v>46056</v>
      </c>
      <c r="C21" s="20"/>
      <c r="D21" s="20"/>
      <c r="E21" s="20">
        <f>F7*M20</f>
        <v>29757.420000000002</v>
      </c>
      <c r="F21" s="20">
        <f>G7*M21</f>
        <v>17971.66</v>
      </c>
      <c r="G21" s="20">
        <f>H7*M22</f>
        <v>13515.84</v>
      </c>
      <c r="H21" s="20">
        <f>I7*M23</f>
        <v>19710.72</v>
      </c>
      <c r="I21" s="20">
        <f>SUM(E21:H21)</f>
        <v>80955.64</v>
      </c>
      <c r="L21" s="38" t="s">
        <v>18</v>
      </c>
      <c r="M21" s="13">
        <v>9.3699999999999992</v>
      </c>
    </row>
    <row r="22" spans="1:13">
      <c r="A22" s="20">
        <f>A8</f>
        <v>3</v>
      </c>
      <c r="B22" s="22">
        <f>B8</f>
        <v>46058</v>
      </c>
      <c r="C22" s="20"/>
      <c r="D22" s="20"/>
      <c r="E22" s="20">
        <f>F8*M20</f>
        <v>58453.5</v>
      </c>
      <c r="F22" s="20">
        <f>G8*M21</f>
        <v>37030.239999999998</v>
      </c>
      <c r="G22" s="20">
        <f>H8*M22</f>
        <v>25905.360000000001</v>
      </c>
      <c r="H22" s="20">
        <f>I8*M23</f>
        <v>36759.360000000001</v>
      </c>
      <c r="I22" s="20">
        <f>SUM(E22:H22)</f>
        <v>158148.46</v>
      </c>
      <c r="L22" s="13" t="s">
        <v>19</v>
      </c>
      <c r="M22" s="13">
        <v>10.83</v>
      </c>
    </row>
    <row r="23" spans="1:13">
      <c r="A23" s="20">
        <f>A9</f>
        <v>4</v>
      </c>
      <c r="B23" s="22">
        <f>B9</f>
        <v>46059</v>
      </c>
      <c r="C23" s="20"/>
      <c r="D23" s="20"/>
      <c r="E23" s="20">
        <f>F9*M20</f>
        <v>29853.18</v>
      </c>
      <c r="F23" s="20">
        <f>G9*M21</f>
        <v>19161.649999999998</v>
      </c>
      <c r="G23" s="20">
        <f>H9*M22</f>
        <v>14999.55</v>
      </c>
      <c r="H23" s="20">
        <f>I9*M23</f>
        <v>22882.560000000001</v>
      </c>
      <c r="I23" s="20">
        <f t="shared" ref="I23:I28" si="1">SUM(E23:H23)</f>
        <v>86896.94</v>
      </c>
      <c r="L23" s="13" t="s">
        <v>20</v>
      </c>
      <c r="M23" s="13">
        <v>14.16</v>
      </c>
    </row>
    <row r="24" spans="1:13">
      <c r="A24" s="20">
        <f>A10</f>
        <v>5</v>
      </c>
      <c r="B24" s="22">
        <f>B10</f>
        <v>46073</v>
      </c>
      <c r="C24" s="20"/>
      <c r="D24" s="20"/>
      <c r="E24" s="20">
        <f>F10*M20</f>
        <v>38224.200000000004</v>
      </c>
      <c r="F24" s="20">
        <f>G10*M21</f>
        <v>23640.51</v>
      </c>
      <c r="G24" s="20">
        <f>H10*M22</f>
        <v>17837.009999999998</v>
      </c>
      <c r="H24" s="20">
        <f>I10*M23</f>
        <v>25063.200000000001</v>
      </c>
      <c r="I24" s="20">
        <f t="shared" si="1"/>
        <v>104764.92</v>
      </c>
      <c r="L24" s="13"/>
      <c r="M24" s="13"/>
    </row>
    <row r="25" spans="1:13">
      <c r="A25" s="20">
        <f>A11</f>
        <v>6</v>
      </c>
      <c r="B25" s="22">
        <f>B11</f>
        <v>46076</v>
      </c>
      <c r="C25" s="20"/>
      <c r="D25" s="20"/>
      <c r="E25" s="20">
        <f>F11*M20</f>
        <v>15952.02</v>
      </c>
      <c r="F25" s="20">
        <f>G11*M21</f>
        <v>10616.21</v>
      </c>
      <c r="G25" s="20">
        <f>H11*M22</f>
        <v>7494.36</v>
      </c>
      <c r="H25" s="20">
        <f>I11*M23</f>
        <v>11058.960000000001</v>
      </c>
      <c r="I25" s="20">
        <f t="shared" si="1"/>
        <v>45121.549999999996</v>
      </c>
      <c r="L25" s="13" t="s">
        <v>21</v>
      </c>
      <c r="M25" s="13">
        <v>9.65</v>
      </c>
    </row>
    <row r="26" spans="1:13">
      <c r="A26" s="20">
        <f>A12</f>
        <v>7</v>
      </c>
      <c r="B26" s="22">
        <f>B12</f>
        <v>46079</v>
      </c>
      <c r="C26" s="20"/>
      <c r="D26" s="20"/>
      <c r="E26" s="20">
        <f>F12*M20</f>
        <v>13789.44</v>
      </c>
      <c r="F26" s="20">
        <f>G12*M21</f>
        <v>7880.1699999999992</v>
      </c>
      <c r="G26" s="20">
        <f>H12*M22</f>
        <v>5111.76</v>
      </c>
      <c r="H26" s="20">
        <f>I12*M23</f>
        <v>5947.2</v>
      </c>
      <c r="I26" s="20">
        <f t="shared" si="1"/>
        <v>32728.570000000003</v>
      </c>
    </row>
    <row r="27" spans="1:13">
      <c r="A27" s="20">
        <f>A13</f>
        <v>8</v>
      </c>
      <c r="B27" s="22">
        <f>B13</f>
        <v>46080</v>
      </c>
      <c r="C27" s="20"/>
      <c r="D27" s="20"/>
      <c r="E27" s="20">
        <f>F13*M20</f>
        <v>42685.020000000004</v>
      </c>
      <c r="F27" s="20">
        <f>G13*M21</f>
        <v>27913.229999999996</v>
      </c>
      <c r="G27" s="20">
        <f>H13*M22</f>
        <v>22039.05</v>
      </c>
      <c r="H27" s="20">
        <f>I13*M23</f>
        <v>32851.199999999997</v>
      </c>
      <c r="I27" s="20">
        <f t="shared" si="1"/>
        <v>125488.5</v>
      </c>
    </row>
    <row r="28" spans="1:13">
      <c r="A28" s="20">
        <f>A14</f>
        <v>9</v>
      </c>
      <c r="B28" s="22">
        <f>B14</f>
        <v>46081</v>
      </c>
      <c r="C28" s="20"/>
      <c r="D28" s="20"/>
      <c r="E28" s="20">
        <f>F14*M20</f>
        <v>11116.140000000001</v>
      </c>
      <c r="F28" s="20">
        <f>G14*M21</f>
        <v>7514.74</v>
      </c>
      <c r="G28" s="20">
        <f>H14*M22</f>
        <v>6021.4800000000005</v>
      </c>
      <c r="H28" s="20">
        <f>I14*M23</f>
        <v>7164.96</v>
      </c>
      <c r="I28" s="20">
        <f t="shared" si="1"/>
        <v>31817.32</v>
      </c>
    </row>
    <row r="29" spans="1:13">
      <c r="A29" s="23" t="s">
        <v>22</v>
      </c>
      <c r="B29" s="23"/>
      <c r="C29" s="23"/>
      <c r="D29" s="23"/>
      <c r="E29" s="23"/>
      <c r="F29" s="23"/>
      <c r="G29" s="23"/>
      <c r="H29" s="23"/>
      <c r="I29" s="23"/>
    </row>
    <row r="32" spans="1:13">
      <c r="A32" s="20" t="str">
        <f>A19</f>
        <v>SI No.</v>
      </c>
      <c r="B32" s="20" t="str">
        <f>B19</f>
        <v>Date of 
Operation</v>
      </c>
      <c r="C32" s="20" t="s">
        <v>23</v>
      </c>
    </row>
    <row r="33" spans="1:10">
      <c r="A33" s="20">
        <f t="shared" ref="A33:B42" si="2">A20</f>
        <v>1</v>
      </c>
      <c r="B33" s="22">
        <f>B20</f>
        <v>46055</v>
      </c>
      <c r="C33" s="21">
        <f>I20</f>
        <v>151173.15</v>
      </c>
    </row>
    <row r="34" spans="1:10">
      <c r="A34" s="20">
        <f t="shared" si="2"/>
        <v>2</v>
      </c>
      <c r="B34" s="22">
        <f t="shared" si="2"/>
        <v>46056</v>
      </c>
      <c r="C34" s="21">
        <f t="shared" ref="C34:C41" si="3">I21</f>
        <v>80955.64</v>
      </c>
    </row>
    <row r="35" spans="1:10">
      <c r="A35" s="20">
        <f t="shared" si="2"/>
        <v>3</v>
      </c>
      <c r="B35" s="22">
        <f t="shared" si="2"/>
        <v>46058</v>
      </c>
      <c r="C35" s="21">
        <f t="shared" si="3"/>
        <v>158148.46</v>
      </c>
    </row>
    <row r="36" spans="1:10">
      <c r="A36" s="20">
        <f t="shared" si="2"/>
        <v>4</v>
      </c>
      <c r="B36" s="22">
        <f t="shared" si="2"/>
        <v>46059</v>
      </c>
      <c r="C36" s="21">
        <f t="shared" si="3"/>
        <v>86896.94</v>
      </c>
    </row>
    <row r="37" spans="1:10">
      <c r="A37" s="20">
        <f t="shared" si="2"/>
        <v>5</v>
      </c>
      <c r="B37" s="22">
        <f t="shared" si="2"/>
        <v>46073</v>
      </c>
      <c r="C37" s="21">
        <f t="shared" si="3"/>
        <v>104764.92</v>
      </c>
    </row>
    <row r="38" spans="1:10">
      <c r="A38" s="20">
        <f t="shared" si="2"/>
        <v>6</v>
      </c>
      <c r="B38" s="22">
        <f t="shared" si="2"/>
        <v>46076</v>
      </c>
      <c r="C38" s="21">
        <f t="shared" si="3"/>
        <v>45121.549999999996</v>
      </c>
    </row>
    <row r="39" spans="1:10">
      <c r="A39" s="20">
        <f t="shared" si="2"/>
        <v>7</v>
      </c>
      <c r="B39" s="22">
        <f t="shared" si="2"/>
        <v>46079</v>
      </c>
      <c r="C39" s="21">
        <f t="shared" si="3"/>
        <v>32728.570000000003</v>
      </c>
    </row>
    <row r="40" spans="1:10">
      <c r="A40" s="20">
        <f t="shared" si="2"/>
        <v>8</v>
      </c>
      <c r="B40" s="22">
        <f t="shared" si="2"/>
        <v>46080</v>
      </c>
      <c r="C40" s="21">
        <f t="shared" si="3"/>
        <v>125488.5</v>
      </c>
    </row>
    <row r="41" spans="1:10">
      <c r="A41" s="20">
        <f t="shared" si="2"/>
        <v>9</v>
      </c>
      <c r="B41" s="22">
        <f t="shared" si="2"/>
        <v>46081</v>
      </c>
      <c r="C41" s="21">
        <f t="shared" si="3"/>
        <v>31817.32</v>
      </c>
    </row>
    <row r="42" spans="1:10">
      <c r="A42" s="23" t="s">
        <v>24</v>
      </c>
      <c r="B42" s="23"/>
      <c r="C42" s="23"/>
    </row>
    <row r="48" spans="1:10">
      <c r="A48" s="24" t="s">
        <v>0</v>
      </c>
      <c r="B48" s="25" t="s">
        <v>1</v>
      </c>
      <c r="C48" s="24"/>
      <c r="D48" s="24" t="s">
        <v>25</v>
      </c>
      <c r="E48" s="24"/>
      <c r="F48" s="26" t="s">
        <v>26</v>
      </c>
      <c r="G48" s="26"/>
      <c r="H48" s="26"/>
      <c r="I48" s="26"/>
      <c r="J48" s="26"/>
    </row>
    <row r="49" spans="1:14">
      <c r="A49" s="24"/>
      <c r="B49" s="24"/>
      <c r="C49" s="24"/>
      <c r="D49" s="24"/>
      <c r="E49" s="24"/>
      <c r="F49" s="26" t="s">
        <v>27</v>
      </c>
      <c r="G49" s="26"/>
      <c r="H49" s="26"/>
      <c r="I49" s="26"/>
      <c r="J49" s="26"/>
    </row>
    <row r="50" spans="1:14">
      <c r="A50" s="27">
        <v>1</v>
      </c>
      <c r="B50" s="28">
        <v>46071</v>
      </c>
      <c r="C50" s="29"/>
      <c r="D50" s="30">
        <v>3674</v>
      </c>
      <c r="E50" s="31"/>
      <c r="F50" s="32">
        <v>3485</v>
      </c>
      <c r="G50" s="32"/>
      <c r="H50" s="32"/>
      <c r="I50" s="32"/>
      <c r="J50" s="32"/>
    </row>
    <row r="51" spans="1:14">
      <c r="A51" s="27">
        <v>2</v>
      </c>
      <c r="B51" s="28">
        <v>46072</v>
      </c>
      <c r="C51" s="29"/>
      <c r="D51" s="30">
        <v>3675</v>
      </c>
      <c r="E51" s="31"/>
      <c r="F51" s="32">
        <v>6520</v>
      </c>
      <c r="G51" s="32"/>
      <c r="H51" s="32"/>
      <c r="I51" s="32"/>
      <c r="J51" s="32"/>
    </row>
    <row r="52" spans="1:14">
      <c r="A52" s="27">
        <v>3</v>
      </c>
      <c r="B52" s="28">
        <v>46073</v>
      </c>
      <c r="C52" s="29"/>
      <c r="D52" s="30">
        <v>3676</v>
      </c>
      <c r="E52" s="31"/>
      <c r="F52" s="32">
        <v>2845</v>
      </c>
      <c r="G52" s="32"/>
      <c r="H52" s="32"/>
      <c r="I52" s="32"/>
      <c r="J52" s="32"/>
    </row>
    <row r="53" spans="1:14">
      <c r="A53" s="27">
        <v>4</v>
      </c>
      <c r="B53" s="28">
        <v>46074</v>
      </c>
      <c r="C53" s="29"/>
      <c r="D53" s="30">
        <v>3679</v>
      </c>
      <c r="E53" s="31"/>
      <c r="F53" s="32">
        <v>5692</v>
      </c>
      <c r="G53" s="32"/>
      <c r="H53" s="32"/>
      <c r="I53" s="32"/>
      <c r="J53" s="32"/>
    </row>
    <row r="54" spans="1:14">
      <c r="A54" s="27">
        <v>5</v>
      </c>
      <c r="B54" s="28">
        <v>46076</v>
      </c>
      <c r="C54" s="29"/>
      <c r="D54" s="30">
        <v>3690</v>
      </c>
      <c r="E54" s="31"/>
      <c r="F54" s="32">
        <v>7560</v>
      </c>
      <c r="G54" s="32"/>
      <c r="H54" s="32"/>
      <c r="I54" s="32"/>
      <c r="J54" s="32"/>
    </row>
    <row r="55" spans="1:14">
      <c r="A55" s="27">
        <v>6</v>
      </c>
      <c r="B55" s="28">
        <v>46077</v>
      </c>
      <c r="C55" s="29"/>
      <c r="D55" s="30">
        <v>3683</v>
      </c>
      <c r="E55" s="31"/>
      <c r="F55" s="32">
        <v>6288</v>
      </c>
      <c r="G55" s="32"/>
      <c r="H55" s="32"/>
      <c r="I55" s="32"/>
      <c r="J55" s="32"/>
    </row>
    <row r="56" spans="1:14">
      <c r="A56" s="27">
        <v>7</v>
      </c>
      <c r="B56" s="28">
        <v>46078</v>
      </c>
      <c r="C56" s="29"/>
      <c r="D56" s="30">
        <v>3686</v>
      </c>
      <c r="E56" s="31"/>
      <c r="F56" s="32">
        <v>8443</v>
      </c>
      <c r="G56" s="32"/>
      <c r="H56" s="32"/>
      <c r="I56" s="32"/>
      <c r="J56" s="32"/>
    </row>
    <row r="57" spans="1:14">
      <c r="A57" s="27">
        <v>8</v>
      </c>
      <c r="B57" s="28">
        <v>46079</v>
      </c>
      <c r="C57" s="29"/>
      <c r="D57" s="30">
        <v>3685</v>
      </c>
      <c r="E57" s="31"/>
      <c r="F57" s="32">
        <v>6284</v>
      </c>
      <c r="G57" s="32"/>
      <c r="H57" s="32"/>
      <c r="I57" s="32"/>
      <c r="J57" s="32"/>
    </row>
    <row r="58" spans="1:14">
      <c r="A58" s="27">
        <v>8</v>
      </c>
      <c r="B58" s="28">
        <v>46080</v>
      </c>
      <c r="C58" s="29"/>
      <c r="D58" s="30">
        <v>3688</v>
      </c>
      <c r="E58" s="31"/>
      <c r="F58" s="32">
        <v>3460</v>
      </c>
      <c r="G58" s="32"/>
      <c r="H58" s="32"/>
      <c r="I58" s="32"/>
      <c r="J58" s="32"/>
    </row>
    <row r="59" spans="1:14">
      <c r="A59" s="27">
        <v>9</v>
      </c>
      <c r="B59" s="28">
        <v>46081</v>
      </c>
      <c r="C59" s="29"/>
      <c r="D59" s="30">
        <v>3691</v>
      </c>
      <c r="E59" s="31"/>
      <c r="F59" s="32">
        <v>6171</v>
      </c>
      <c r="G59" s="32"/>
      <c r="H59" s="32"/>
      <c r="I59" s="32"/>
      <c r="J59" s="32"/>
    </row>
    <row r="60" spans="1:14">
      <c r="A60" s="33" t="s">
        <v>15</v>
      </c>
      <c r="B60" s="34"/>
      <c r="C60" s="34"/>
      <c r="D60" s="34"/>
      <c r="E60" s="35"/>
      <c r="F60" s="26">
        <f>SUM(F50:J59)</f>
        <v>56748</v>
      </c>
      <c r="G60" s="26"/>
      <c r="H60" s="26"/>
      <c r="I60" s="26"/>
      <c r="J60" s="26"/>
    </row>
    <row r="61" spans="1:14">
      <c r="A61" s="36" t="s">
        <v>28</v>
      </c>
      <c r="B61" s="36"/>
      <c r="C61" s="36"/>
      <c r="D61" s="36"/>
      <c r="E61" s="36"/>
      <c r="F61" s="36"/>
      <c r="G61" s="36"/>
      <c r="H61" s="36"/>
      <c r="I61" s="36"/>
      <c r="J61" s="36"/>
    </row>
    <row r="64" spans="1:14">
      <c r="A64" s="20" t="str">
        <f>A48</f>
        <v>SI No.</v>
      </c>
      <c r="B64" s="20" t="str">
        <f>B48</f>
        <v>Date of 
Operation</v>
      </c>
      <c r="C64" s="20" t="s">
        <v>23</v>
      </c>
      <c r="K64" s="40">
        <f>B33</f>
        <v>46055</v>
      </c>
      <c r="L64" s="42">
        <f>C33</f>
        <v>151173.15</v>
      </c>
      <c r="M64" s="41">
        <f>B65</f>
        <v>46071</v>
      </c>
      <c r="N64" s="42">
        <f>C65</f>
        <v>33630.25</v>
      </c>
    </row>
    <row r="65" spans="1:14">
      <c r="A65" s="20">
        <f>A50</f>
        <v>1</v>
      </c>
      <c r="B65" s="37">
        <f>B50</f>
        <v>46071</v>
      </c>
      <c r="C65" s="21">
        <f>F50*M25</f>
        <v>33630.25</v>
      </c>
      <c r="K65" s="40">
        <f t="shared" ref="K65:K72" si="4">B34</f>
        <v>46056</v>
      </c>
      <c r="L65" s="42">
        <f t="shared" ref="L65:L73" si="5">C34</f>
        <v>80955.64</v>
      </c>
      <c r="M65" s="41">
        <f>B66</f>
        <v>46072</v>
      </c>
      <c r="N65" s="42">
        <f t="shared" ref="N65:N73" si="6">C66</f>
        <v>62918</v>
      </c>
    </row>
    <row r="66" spans="1:14">
      <c r="A66" s="20">
        <f>A51</f>
        <v>2</v>
      </c>
      <c r="B66" s="37">
        <f>B51</f>
        <v>46072</v>
      </c>
      <c r="C66" s="20">
        <f>F51*M25</f>
        <v>62918</v>
      </c>
      <c r="K66" s="40">
        <f t="shared" si="4"/>
        <v>46058</v>
      </c>
      <c r="L66" s="42">
        <f t="shared" si="5"/>
        <v>158148.46</v>
      </c>
      <c r="M66" s="41">
        <f>B67</f>
        <v>46073</v>
      </c>
      <c r="N66" s="42">
        <f t="shared" si="6"/>
        <v>27454.25</v>
      </c>
    </row>
    <row r="67" spans="1:14">
      <c r="A67" s="20">
        <f>A52</f>
        <v>3</v>
      </c>
      <c r="B67" s="37">
        <f>B52</f>
        <v>46073</v>
      </c>
      <c r="C67" s="20">
        <f>F52*M25</f>
        <v>27454.25</v>
      </c>
      <c r="K67" s="40">
        <f t="shared" si="4"/>
        <v>46059</v>
      </c>
      <c r="L67" s="42">
        <f t="shared" si="5"/>
        <v>86896.94</v>
      </c>
      <c r="M67" s="41">
        <f>B68</f>
        <v>46074</v>
      </c>
      <c r="N67" s="42">
        <f t="shared" si="6"/>
        <v>54927.8</v>
      </c>
    </row>
    <row r="68" spans="1:14">
      <c r="A68" s="20">
        <f>A53</f>
        <v>4</v>
      </c>
      <c r="B68" s="37">
        <f>B53</f>
        <v>46074</v>
      </c>
      <c r="C68" s="20">
        <f>F53*M25</f>
        <v>54927.8</v>
      </c>
      <c r="K68" s="40">
        <f t="shared" si="4"/>
        <v>46073</v>
      </c>
      <c r="L68" s="42">
        <f t="shared" si="5"/>
        <v>104764.92</v>
      </c>
      <c r="M68" s="41">
        <f>B69</f>
        <v>46076</v>
      </c>
      <c r="N68" s="42">
        <f t="shared" si="6"/>
        <v>72954</v>
      </c>
    </row>
    <row r="69" spans="1:14">
      <c r="A69" s="20">
        <f>A54</f>
        <v>5</v>
      </c>
      <c r="B69" s="37">
        <f>B54</f>
        <v>46076</v>
      </c>
      <c r="C69" s="20">
        <f>F54*M25</f>
        <v>72954</v>
      </c>
      <c r="K69" s="40">
        <f t="shared" si="4"/>
        <v>46076</v>
      </c>
      <c r="L69" s="42">
        <f t="shared" si="5"/>
        <v>45121.549999999996</v>
      </c>
      <c r="M69" s="41">
        <f>B70</f>
        <v>46077</v>
      </c>
      <c r="N69" s="42">
        <f t="shared" si="6"/>
        <v>60679.200000000004</v>
      </c>
    </row>
    <row r="70" spans="1:14">
      <c r="A70" s="20">
        <f>A55</f>
        <v>6</v>
      </c>
      <c r="B70" s="37">
        <f>B55</f>
        <v>46077</v>
      </c>
      <c r="C70" s="20">
        <f>F55*M25</f>
        <v>60679.200000000004</v>
      </c>
      <c r="K70" s="40">
        <f t="shared" si="4"/>
        <v>46079</v>
      </c>
      <c r="L70" s="42">
        <f t="shared" si="5"/>
        <v>32728.570000000003</v>
      </c>
      <c r="M70" s="41">
        <f>B71</f>
        <v>46078</v>
      </c>
      <c r="N70" s="42">
        <f t="shared" si="6"/>
        <v>81474.95</v>
      </c>
    </row>
    <row r="71" spans="1:14">
      <c r="A71" s="20">
        <f>A56</f>
        <v>7</v>
      </c>
      <c r="B71" s="37">
        <f>B56</f>
        <v>46078</v>
      </c>
      <c r="C71" s="20">
        <f>F56*M25</f>
        <v>81474.95</v>
      </c>
      <c r="K71" s="40">
        <f t="shared" si="4"/>
        <v>46080</v>
      </c>
      <c r="L71" s="42">
        <f t="shared" si="5"/>
        <v>125488.5</v>
      </c>
      <c r="M71" s="41">
        <f>B72</f>
        <v>46079</v>
      </c>
      <c r="N71" s="42">
        <f t="shared" si="6"/>
        <v>60640.600000000006</v>
      </c>
    </row>
    <row r="72" spans="1:14">
      <c r="A72" s="20">
        <f>A57</f>
        <v>8</v>
      </c>
      <c r="B72" s="37">
        <f>B57</f>
        <v>46079</v>
      </c>
      <c r="C72" s="20">
        <f>F57*M25</f>
        <v>60640.600000000006</v>
      </c>
      <c r="K72" s="40">
        <f t="shared" si="4"/>
        <v>46081</v>
      </c>
      <c r="L72" s="42">
        <f t="shared" si="5"/>
        <v>31817.32</v>
      </c>
      <c r="M72" s="41">
        <f>B73</f>
        <v>46080</v>
      </c>
      <c r="N72" s="42">
        <f t="shared" si="6"/>
        <v>33389</v>
      </c>
    </row>
    <row r="73" spans="1:14">
      <c r="A73" s="20">
        <f>A58</f>
        <v>8</v>
      </c>
      <c r="B73" s="37">
        <f>B58</f>
        <v>46080</v>
      </c>
      <c r="C73" s="20">
        <f>F58*M25</f>
        <v>33389</v>
      </c>
      <c r="K73" s="40"/>
      <c r="L73" s="42"/>
      <c r="M73" s="41">
        <f>B74</f>
        <v>46081</v>
      </c>
      <c r="N73" s="42">
        <f t="shared" si="6"/>
        <v>59550.15</v>
      </c>
    </row>
    <row r="74" spans="1:14">
      <c r="A74" s="20">
        <f>A59</f>
        <v>9</v>
      </c>
      <c r="B74" s="37">
        <f>B59</f>
        <v>46081</v>
      </c>
      <c r="C74" s="20">
        <f>F59*M25</f>
        <v>59550.15</v>
      </c>
    </row>
    <row r="75" spans="1:14">
      <c r="A75" s="19" t="s">
        <v>29</v>
      </c>
      <c r="B75" s="19"/>
      <c r="C75" s="19"/>
    </row>
    <row r="78" spans="1:14" ht="45.75">
      <c r="B78" s="20" t="s">
        <v>30</v>
      </c>
      <c r="C78" s="20" t="s">
        <v>31</v>
      </c>
      <c r="D78" s="45" t="s">
        <v>32</v>
      </c>
      <c r="E78" s="20" t="s">
        <v>33</v>
      </c>
    </row>
    <row r="79" spans="1:14">
      <c r="B79" s="43" cm="1">
        <f t="array" ref="B79:C92">_xlfn._xlws.SORT(
_xlfn.LET(
_xlpm.d,_xlfn.VSTACK(B33:B41,B65:B74),
_xlpm.a,_xlfn.VSTACK(C33:C41,C65:C74),
_xlpm.u,_xlfn.UNIQUE(_xlfn._xlws.FILTER(_xlpm.d,ISNUMBER(_xlpm.d))),
_xlfn.HSTACK(_xlpm.u,_xlfn.BYROW(_xlpm.u,_xlfn.LAMBDA(_xlpm.x,SUM(_xlfn._xlws.FILTER(_xlpm.a,_xlpm.d=_xlpm.x)))))
)
)</f>
        <v>46055</v>
      </c>
      <c r="C79" s="20">
        <v>151173.15</v>
      </c>
      <c r="D79" s="20">
        <v>34</v>
      </c>
      <c r="E79" s="20">
        <f>C79/D79</f>
        <v>4446.2691176470589</v>
      </c>
    </row>
    <row r="80" spans="1:14">
      <c r="B80" s="43">
        <v>46056</v>
      </c>
      <c r="C80" s="20">
        <v>80955.64</v>
      </c>
      <c r="D80" s="20">
        <v>33</v>
      </c>
      <c r="E80" s="20">
        <f>C80/D80</f>
        <v>2453.2012121212119</v>
      </c>
    </row>
    <row r="81" spans="2:14">
      <c r="B81" s="44">
        <v>46058</v>
      </c>
      <c r="C81" s="20">
        <v>158148.46</v>
      </c>
      <c r="D81" s="20">
        <v>36</v>
      </c>
      <c r="E81" s="20">
        <f>C81/D81</f>
        <v>4393.012777777778</v>
      </c>
    </row>
    <row r="82" spans="2:14">
      <c r="B82" s="44">
        <v>46059</v>
      </c>
      <c r="C82" s="20">
        <v>86896.94</v>
      </c>
      <c r="D82" s="20">
        <v>31</v>
      </c>
      <c r="E82" s="20">
        <f>C82/D82</f>
        <v>2803.1270967741934</v>
      </c>
      <c r="N82" s="42"/>
    </row>
    <row r="83" spans="2:14">
      <c r="B83" s="44">
        <v>46071</v>
      </c>
      <c r="C83" s="20">
        <v>33630.25</v>
      </c>
      <c r="D83" s="20"/>
      <c r="E83" s="20"/>
      <c r="N83" s="42"/>
    </row>
    <row r="84" spans="2:14">
      <c r="B84" s="44">
        <v>46072</v>
      </c>
      <c r="C84" s="20">
        <v>62918</v>
      </c>
      <c r="D84" s="20"/>
      <c r="E84" s="20"/>
      <c r="N84" s="42"/>
    </row>
    <row r="85" spans="2:14">
      <c r="B85" s="44">
        <v>46073</v>
      </c>
      <c r="C85" s="20">
        <v>132219.16999999998</v>
      </c>
      <c r="D85" s="20"/>
      <c r="E85" s="20"/>
    </row>
    <row r="86" spans="2:14">
      <c r="B86" s="44">
        <v>46074</v>
      </c>
      <c r="C86" s="20">
        <v>54927.8</v>
      </c>
      <c r="D86" s="20"/>
      <c r="E86" s="20"/>
    </row>
    <row r="87" spans="2:14">
      <c r="B87" s="44">
        <v>46076</v>
      </c>
      <c r="C87" s="20">
        <v>118075.54999999999</v>
      </c>
      <c r="D87" s="20"/>
      <c r="E87" s="20"/>
    </row>
    <row r="88" spans="2:14">
      <c r="B88" s="44">
        <v>46077</v>
      </c>
      <c r="C88" s="20">
        <v>60679.200000000004</v>
      </c>
      <c r="D88" s="20"/>
      <c r="E88" s="20"/>
    </row>
    <row r="89" spans="2:14">
      <c r="B89" s="44">
        <v>46078</v>
      </c>
      <c r="C89" s="20">
        <v>81474.95</v>
      </c>
      <c r="D89" s="20"/>
      <c r="E89" s="20"/>
    </row>
    <row r="90" spans="2:14">
      <c r="B90" s="44">
        <v>46079</v>
      </c>
      <c r="C90" s="20">
        <v>93369.170000000013</v>
      </c>
      <c r="D90" s="20"/>
      <c r="E90" s="20"/>
    </row>
    <row r="91" spans="2:14">
      <c r="B91" s="44">
        <v>46080</v>
      </c>
      <c r="C91" s="20">
        <v>158877.5</v>
      </c>
      <c r="D91" s="20"/>
      <c r="E91" s="20"/>
    </row>
    <row r="92" spans="2:14">
      <c r="B92" s="44">
        <v>46081</v>
      </c>
      <c r="C92" s="20">
        <v>91367.47</v>
      </c>
      <c r="D92" s="20"/>
      <c r="E92" s="20"/>
    </row>
    <row r="93" spans="2:14">
      <c r="B93" s="39"/>
    </row>
    <row r="94" spans="2:14">
      <c r="B94" s="39"/>
    </row>
  </sheetData>
  <mergeCells count="54">
    <mergeCell ref="A60:E60"/>
    <mergeCell ref="F60:J60"/>
    <mergeCell ref="A61:J61"/>
    <mergeCell ref="A42:C42"/>
    <mergeCell ref="A75:C75"/>
    <mergeCell ref="B58:C58"/>
    <mergeCell ref="D58:E58"/>
    <mergeCell ref="F58:J58"/>
    <mergeCell ref="B59:C59"/>
    <mergeCell ref="D59:E59"/>
    <mergeCell ref="F59:J59"/>
    <mergeCell ref="B56:C56"/>
    <mergeCell ref="D56:E56"/>
    <mergeCell ref="F56:J56"/>
    <mergeCell ref="B57:C57"/>
    <mergeCell ref="D57:E57"/>
    <mergeCell ref="F57:J57"/>
    <mergeCell ref="B54:C54"/>
    <mergeCell ref="D54:E54"/>
    <mergeCell ref="F54:J54"/>
    <mergeCell ref="B55:C55"/>
    <mergeCell ref="D55:E55"/>
    <mergeCell ref="F55:J55"/>
    <mergeCell ref="B52:C52"/>
    <mergeCell ref="D52:E52"/>
    <mergeCell ref="F52:J52"/>
    <mergeCell ref="B53:C53"/>
    <mergeCell ref="D53:E53"/>
    <mergeCell ref="F53:J53"/>
    <mergeCell ref="B50:C50"/>
    <mergeCell ref="D50:E50"/>
    <mergeCell ref="F50:J50"/>
    <mergeCell ref="B51:C51"/>
    <mergeCell ref="D51:E51"/>
    <mergeCell ref="F51:J51"/>
    <mergeCell ref="J2:J5"/>
    <mergeCell ref="A15:C15"/>
    <mergeCell ref="A16:J16"/>
    <mergeCell ref="A29:I29"/>
    <mergeCell ref="A48:A49"/>
    <mergeCell ref="B48:C49"/>
    <mergeCell ref="D48:E49"/>
    <mergeCell ref="F48:J48"/>
    <mergeCell ref="F49:J49"/>
    <mergeCell ref="A1:A5"/>
    <mergeCell ref="B1:B5"/>
    <mergeCell ref="C1:C5"/>
    <mergeCell ref="D1:D5"/>
    <mergeCell ref="E1:E5"/>
    <mergeCell ref="F1:J1"/>
    <mergeCell ref="F2:F5"/>
    <mergeCell ref="G2:G5"/>
    <mergeCell ref="H2:H5"/>
    <mergeCell ref="I2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2026-03-10T19:40:36Z</dcterms:created>
  <dcterms:modified xsi:type="dcterms:W3CDTF">2026-03-10T20:51:18Z</dcterms:modified>
  <cp:category/>
  <cp:contentStatus/>
</cp:coreProperties>
</file>